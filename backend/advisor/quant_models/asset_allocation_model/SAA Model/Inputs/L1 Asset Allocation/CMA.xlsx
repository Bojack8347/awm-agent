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on/Desktop/Update/Neo-Engine/SAA Model/Inputs/L1 Asset Allocation/"/>
    </mc:Choice>
  </mc:AlternateContent>
  <xr:revisionPtr revIDLastSave="0" documentId="13_ncr:1_{9FB04F49-DBD3-3E40-B5CE-17A0570EAD85}" xr6:coauthVersionLast="47" xr6:coauthVersionMax="47" xr10:uidLastSave="{00000000-0000-0000-0000-000000000000}"/>
  <bookViews>
    <workbookView xWindow="-21600" yWindow="0" windowWidth="21600" windowHeight="38400" xr2:uid="{C4C48AD9-E6BA-B24E-B625-3BB7A8BA3FB9}"/>
  </bookViews>
  <sheets>
    <sheet name="Asset Cluster Mapping" sheetId="11" r:id="rId1"/>
    <sheet name="Market Weight" sheetId="12" r:id="rId2"/>
    <sheet name="Eq Volatility" sheetId="14" r:id="rId3"/>
    <sheet name="Eq Corr Matrix" sheetId="13" r:id="rId4"/>
    <sheet name="Naive Benchmark" sheetId="3" r:id="rId5"/>
    <sheet name="Expected R&amp;R" sheetId="5" r:id="rId6"/>
    <sheet name="Expected Corr Matrix" sheetId="6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P2" authorId="0" shapeId="0" xr:uid="{EA4926CB-0D97-064C-80B8-BE767E1D3A64}">
      <text>
        <r>
          <rPr>
            <b/>
            <sz val="10"/>
            <color rgb="FF000000"/>
            <rFont val="Tahoma"/>
            <family val="2"/>
          </rPr>
          <t xml:space="preserve">Author:
</t>
        </r>
        <r>
          <rPr>
            <b/>
            <sz val="10"/>
            <color rgb="FF000000"/>
            <rFont val="Tahoma"/>
            <family val="2"/>
          </rPr>
          <t>As liquidity restrained, coupled with elavated volatility in equity and bond, sentiment could be volatile. However, increased adoptation of the Bitcoin could offer stabalization effect.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H2" authorId="0" shapeId="0" xr:uid="{18CDDAB8-E4F6-A347-8185-37432EE6B8C6}">
      <text>
        <r>
          <rPr>
            <b/>
            <sz val="10"/>
            <color rgb="FF000000"/>
            <rFont val="Tahoma"/>
            <family val="2"/>
          </rPr>
          <t xml:space="preserve">Author:
</t>
        </r>
        <r>
          <rPr>
            <b/>
            <sz val="10"/>
            <color rgb="FF000000"/>
            <rFont val="Tahoma"/>
            <family val="2"/>
          </rPr>
          <t>Valuation remain unchanged for the next decade, add back 2%</t>
        </r>
      </text>
    </comment>
    <comment ref="L2" authorId="0" shapeId="0" xr:uid="{3F5F4F7C-1913-7A46-AAB0-EB8D808151A5}">
      <text>
        <r>
          <rPr>
            <b/>
            <sz val="10"/>
            <color rgb="FF000000"/>
            <rFont val="Tahoma"/>
            <family val="2"/>
          </rPr>
          <t xml:space="preserve">Author:
</t>
        </r>
        <r>
          <rPr>
            <b/>
            <sz val="10"/>
            <color rgb="FF000000"/>
            <rFont val="Tahoma"/>
            <family val="2"/>
          </rPr>
          <t>We adjust EM return expectation from 7.2% to 7.9%, to reflect the return expectation for India, considering growth drag from China, and inflation drag from China and rest of the EM ex China and India.</t>
        </r>
      </text>
    </comment>
    <comment ref="N2" authorId="0" shapeId="0" xr:uid="{010B6C13-3078-8D4A-8545-2AA405983C51}">
      <text>
        <r>
          <rPr>
            <b/>
            <sz val="10"/>
            <color rgb="FF000000"/>
            <rFont val="Tahoma"/>
            <family val="2"/>
          </rPr>
          <t xml:space="preserve">Author:
</t>
        </r>
        <r>
          <rPr>
            <b/>
            <sz val="10"/>
            <color rgb="FF000000"/>
            <rFont val="Tahoma"/>
            <family val="2"/>
          </rPr>
          <t>We propose increasingly the Gold premium from 0.3% to 1%. A higher demand comes from investor amid an elevated inflation and financial asset voaltility.</t>
        </r>
      </text>
    </comment>
    <comment ref="P2" authorId="0" shapeId="0" xr:uid="{264DF852-1BF8-EB4F-9FE3-2C029B18E3A6}">
      <text>
        <r>
          <rPr>
            <b/>
            <sz val="10"/>
            <color rgb="FF000000"/>
            <rFont val="Tahoma"/>
            <family val="2"/>
          </rPr>
          <t xml:space="preserve">Author:
</t>
        </r>
        <r>
          <rPr>
            <b/>
            <sz val="10"/>
            <color rgb="FF000000"/>
            <rFont val="Tahoma"/>
            <family val="2"/>
          </rPr>
          <t xml:space="preserve">Lower liquidty --, stronger growth +, USD weakening +, increased adoptation of the Bitcoin +. </t>
        </r>
      </text>
    </comment>
    <comment ref="P3" authorId="0" shapeId="0" xr:uid="{0E8D7DFD-D0FA-6742-A8AA-B49E99FB63A7}">
      <text>
        <r>
          <rPr>
            <b/>
            <sz val="10"/>
            <color rgb="FF000000"/>
            <rFont val="Tahoma"/>
            <family val="2"/>
          </rPr>
          <t xml:space="preserve">Author:
</t>
        </r>
        <r>
          <rPr>
            <b/>
            <sz val="10"/>
            <color rgb="FF000000"/>
            <rFont val="Tahoma"/>
            <family val="2"/>
          </rPr>
          <t>As liquidity restrained, coupled with elavated volatility in equity and bond, sentiment could be volatile. However, increased adoptation of the Bitcoin could offer stabalization effect.</t>
        </r>
      </text>
    </comment>
  </commentList>
</comments>
</file>

<file path=xl/sharedStrings.xml><?xml version="1.0" encoding="utf-8"?>
<sst xmlns="http://schemas.openxmlformats.org/spreadsheetml/2006/main" count="141" uniqueCount="26">
  <si>
    <t>Global Investment Grade Corporate Bond</t>
  </si>
  <si>
    <t>Global High Yield Bond BB-B</t>
  </si>
  <si>
    <t>Emerging Market Local Currency Government Bonds</t>
  </si>
  <si>
    <t>Commodities</t>
  </si>
  <si>
    <t xml:space="preserve">Bitcoin </t>
  </si>
  <si>
    <t>Cash</t>
  </si>
  <si>
    <t>EM Equity</t>
  </si>
  <si>
    <t>DM Equity</t>
  </si>
  <si>
    <t>Defensive Fixed Income</t>
  </si>
  <si>
    <t>Risky Fixed Income</t>
  </si>
  <si>
    <t xml:space="preserve">Expected Return </t>
  </si>
  <si>
    <t>Expected Volatility</t>
  </si>
  <si>
    <t>Emerging Market Hard Currency Debt</t>
  </si>
  <si>
    <t>Asset Class Name</t>
  </si>
  <si>
    <t>Cluster Mapping</t>
  </si>
  <si>
    <t>US Equity</t>
  </si>
  <si>
    <t>Dev. Europe ex UK Equity</t>
  </si>
  <si>
    <t>Japan Equity</t>
  </si>
  <si>
    <t>China Equity</t>
  </si>
  <si>
    <t>India Equity</t>
  </si>
  <si>
    <t xml:space="preserve">US Treasury </t>
  </si>
  <si>
    <t>Gold</t>
  </si>
  <si>
    <t>Hedge Funds</t>
  </si>
  <si>
    <t>RP1</t>
  </si>
  <si>
    <t>Liquidity</t>
  </si>
  <si>
    <t>Equilibrium Volatility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</si>
</sst>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8">
    <font>
      <sz val="12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0"/>
      <color rgb="FF000000"/>
      <name val="Tahoma"/>
      <family val="2"/>
    </font>
    <font>
      <sz val="12"/>
      <color theme="1"/>
      <name val="Arial"/>
      <family val="2"/>
    </font>
    <font>
      <sz val="9"/>
      <color theme="1"/>
      <name val="Arial"/>
      <family val="2"/>
    </font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Inter Regula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0" tint="-4.9989318521683403E-2"/>
      </top>
      <bottom/>
      <diagonal/>
    </border>
  </borders>
  <cellStyleXfs count="9">
    <xf numFmtId="0" fontId="0" fillId="0" borderId="0"/>
    <xf numFmtId="9" fontId="5" fillId="0" borderId="0" applyFont="0" applyFill="0" applyBorder="0" applyAlignment="0" applyProtection="0"/>
    <xf numFmtId="0" fontId="6" fillId="0" borderId="0"/>
    <xf numFmtId="0" fontId="6" fillId="0" borderId="0"/>
    <xf numFmtId="164" fontId="6" fillId="0" borderId="0" applyFont="0" applyFill="0" applyBorder="0" applyAlignment="0" applyProtection="0"/>
    <xf numFmtId="0" fontId="6" fillId="0" borderId="0"/>
    <xf numFmtId="0" fontId="6" fillId="0" borderId="0"/>
    <xf numFmtId="164" fontId="6" fillId="0" borderId="0" applyFont="0" applyFill="0" applyBorder="0" applyAlignment="0" applyProtection="0"/>
    <xf numFmtId="0" fontId="6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right" vertical="top" wrapText="1"/>
    </xf>
    <xf numFmtId="9" fontId="3" fillId="0" borderId="1" xfId="1" applyFont="1" applyBorder="1" applyAlignment="1">
      <alignment horizontal="right" wrapText="1"/>
    </xf>
    <xf numFmtId="0" fontId="4" fillId="0" borderId="1" xfId="0" applyFont="1" applyBorder="1" applyAlignment="1">
      <alignment horizontal="left" vertical="top"/>
    </xf>
    <xf numFmtId="2" fontId="0" fillId="0" borderId="0" xfId="1" applyNumberFormat="1" applyFont="1"/>
    <xf numFmtId="0" fontId="4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/>
    </xf>
    <xf numFmtId="0" fontId="7" fillId="0" borderId="2" xfId="0" applyFont="1" applyBorder="1" applyAlignment="1">
      <alignment textRotation="90"/>
    </xf>
    <xf numFmtId="0" fontId="7" fillId="0" borderId="0" xfId="0" applyFont="1" applyAlignment="1">
      <alignment textRotation="90"/>
    </xf>
    <xf numFmtId="0" fontId="7" fillId="0" borderId="2" xfId="0" applyFont="1" applyBorder="1" applyAlignment="1">
      <alignment textRotation="90" wrapText="1"/>
    </xf>
    <xf numFmtId="0" fontId="7" fillId="0" borderId="0" xfId="0" applyFont="1" applyAlignment="1">
      <alignment textRotation="90" wrapText="1"/>
    </xf>
    <xf numFmtId="2" fontId="7" fillId="2" borderId="1" xfId="7" applyNumberFormat="1" applyFont="1" applyFill="1" applyBorder="1" applyAlignment="1">
      <alignment horizontal="center" vertical="center"/>
    </xf>
    <xf numFmtId="2" fontId="7" fillId="2" borderId="1" xfId="8" applyNumberFormat="1" applyFont="1" applyFill="1" applyBorder="1" applyAlignment="1">
      <alignment horizontal="center" vertical="center"/>
    </xf>
    <xf numFmtId="2" fontId="7" fillId="2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</cellXfs>
  <cellStyles count="9">
    <cellStyle name="Comma 94" xfId="4" xr:uid="{E93F88FC-24C2-534F-B924-B83207ED2BA0}"/>
    <cellStyle name="Comma 94 2" xfId="7" xr:uid="{6A2FFDEE-E653-4444-941B-BD92CA87D4E7}"/>
    <cellStyle name="Normal" xfId="0" builtinId="0"/>
    <cellStyle name="Normal 3 10 2" xfId="2" xr:uid="{1207BA00-492B-C246-8272-85DA7F94669B}"/>
    <cellStyle name="Normal 3 10 2 2" xfId="6" xr:uid="{E52F4855-D123-5540-A920-4199775A5AD5}"/>
    <cellStyle name="Normal 3 15 2" xfId="5" xr:uid="{EA1C3A0A-7DCE-AC40-AC27-D5D10D01D823}"/>
    <cellStyle name="Normal 333" xfId="3" xr:uid="{AA9B6C95-B409-D94E-A8A9-7BC1D9BC31A4}"/>
    <cellStyle name="Normal 333 2" xfId="8" xr:uid="{8F52788F-B4E7-4E4C-9906-570EDE9340C4}"/>
    <cellStyle name="Percent" xfId="1" builtinId="5"/>
  </cellStyles>
  <dxfs count="8"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35CC8-7448-B14E-B982-8CC556A0B480}">
  <dimension ref="A1:B16"/>
  <sheetViews>
    <sheetView tabSelected="1" topLeftCell="A6" zoomScale="178" workbookViewId="0">
      <selection activeCell="A42" sqref="A42"/>
    </sheetView>
  </sheetViews>
  <sheetFormatPr baseColWidth="10" defaultRowHeight="16"/>
  <cols>
    <col min="1" max="2" width="39.5" customWidth="1"/>
  </cols>
  <sheetData>
    <row r="1" spans="1:2">
      <c r="A1" s="3" t="s">
        <v>13</v>
      </c>
      <c r="B1" s="3" t="s">
        <v>14</v>
      </c>
    </row>
    <row r="2" spans="1:2">
      <c r="A2" s="3" t="s">
        <v>5</v>
      </c>
      <c r="B2" s="3" t="s">
        <v>24</v>
      </c>
    </row>
    <row r="3" spans="1:2">
      <c r="A3" s="3" t="s">
        <v>20</v>
      </c>
      <c r="B3" s="3" t="s">
        <v>8</v>
      </c>
    </row>
    <row r="4" spans="1:2">
      <c r="A4" s="3" t="s">
        <v>0</v>
      </c>
      <c r="B4" s="3" t="s">
        <v>8</v>
      </c>
    </row>
    <row r="5" spans="1:2">
      <c r="A5" s="3" t="s">
        <v>1</v>
      </c>
      <c r="B5" s="3" t="s">
        <v>9</v>
      </c>
    </row>
    <row r="6" spans="1:2">
      <c r="A6" s="3" t="s">
        <v>2</v>
      </c>
      <c r="B6" s="3" t="s">
        <v>9</v>
      </c>
    </row>
    <row r="7" spans="1:2">
      <c r="A7" s="3" t="s">
        <v>12</v>
      </c>
      <c r="B7" s="3" t="s">
        <v>9</v>
      </c>
    </row>
    <row r="8" spans="1:2">
      <c r="A8" s="3" t="s">
        <v>15</v>
      </c>
      <c r="B8" s="3" t="s">
        <v>7</v>
      </c>
    </row>
    <row r="9" spans="1:2">
      <c r="A9" s="3" t="s">
        <v>16</v>
      </c>
      <c r="B9" s="3" t="s">
        <v>7</v>
      </c>
    </row>
    <row r="10" spans="1:2">
      <c r="A10" s="3" t="s">
        <v>17</v>
      </c>
      <c r="B10" s="3" t="s">
        <v>7</v>
      </c>
    </row>
    <row r="11" spans="1:2">
      <c r="A11" s="3" t="s">
        <v>18</v>
      </c>
      <c r="B11" s="3" t="s">
        <v>6</v>
      </c>
    </row>
    <row r="12" spans="1:2">
      <c r="A12" s="3" t="s">
        <v>19</v>
      </c>
      <c r="B12" s="3" t="s">
        <v>6</v>
      </c>
    </row>
    <row r="13" spans="1:2">
      <c r="A13" s="3" t="s">
        <v>3</v>
      </c>
      <c r="B13" s="3" t="s">
        <v>3</v>
      </c>
    </row>
    <row r="14" spans="1:2">
      <c r="A14" s="3" t="s">
        <v>21</v>
      </c>
      <c r="B14" s="3" t="s">
        <v>21</v>
      </c>
    </row>
    <row r="15" spans="1:2">
      <c r="A15" s="3" t="s">
        <v>22</v>
      </c>
      <c r="B15" s="3" t="s">
        <v>22</v>
      </c>
    </row>
    <row r="16" spans="1:2">
      <c r="A16" s="3" t="s">
        <v>4</v>
      </c>
      <c r="B16" s="3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DA561-4E08-4B4D-950D-4421CABD23DF}">
  <dimension ref="A1:O4"/>
  <sheetViews>
    <sheetView zoomScale="190" workbookViewId="0">
      <selection activeCell="A11" sqref="A11"/>
    </sheetView>
  </sheetViews>
  <sheetFormatPr baseColWidth="10" defaultRowHeight="16"/>
  <cols>
    <col min="6" max="6" width="10.83203125" customWidth="1"/>
  </cols>
  <sheetData>
    <row r="1" spans="1:15">
      <c r="A1" s="15" t="s">
        <v>5</v>
      </c>
      <c r="B1" s="15" t="s">
        <v>20</v>
      </c>
      <c r="C1" s="15" t="s">
        <v>0</v>
      </c>
      <c r="D1" s="15" t="s">
        <v>1</v>
      </c>
      <c r="E1" s="15" t="s">
        <v>2</v>
      </c>
      <c r="F1" s="15" t="s">
        <v>12</v>
      </c>
      <c r="G1" s="15" t="s">
        <v>15</v>
      </c>
      <c r="H1" s="15" t="s">
        <v>16</v>
      </c>
      <c r="I1" s="15" t="s">
        <v>17</v>
      </c>
      <c r="J1" s="15" t="s">
        <v>18</v>
      </c>
      <c r="K1" s="15" t="s">
        <v>19</v>
      </c>
      <c r="L1" s="15" t="s">
        <v>3</v>
      </c>
      <c r="M1" s="15" t="s">
        <v>21</v>
      </c>
      <c r="N1" s="15" t="s">
        <v>22</v>
      </c>
      <c r="O1" s="15" t="s">
        <v>4</v>
      </c>
    </row>
    <row r="2" spans="1:15">
      <c r="A2" s="15">
        <v>0.37629041622473552</v>
      </c>
      <c r="B2" s="15">
        <v>0.10501127894643782</v>
      </c>
      <c r="C2" s="15">
        <v>0.1950423394917245</v>
      </c>
      <c r="D2" s="15">
        <v>5.6431491387195429E-3</v>
      </c>
      <c r="E2" s="15">
        <v>1.8246623460919403E-2</v>
      </c>
      <c r="F2" s="15">
        <v>6.8991196220745824E-3</v>
      </c>
      <c r="G2" s="15">
        <v>0.15779773637313732</v>
      </c>
      <c r="H2" s="15">
        <v>3.0568169306194003E-2</v>
      </c>
      <c r="I2" s="15">
        <v>1.3846274145100436E-2</v>
      </c>
      <c r="J2" s="15">
        <v>2.7093748279054749E-2</v>
      </c>
      <c r="K2" s="15">
        <v>1.003456254892636E-2</v>
      </c>
      <c r="L2" s="15">
        <v>1.7501879824406302E-2</v>
      </c>
      <c r="M2" s="15">
        <v>1.7501879824406302E-2</v>
      </c>
      <c r="N2" s="15">
        <v>1.3126409868304727E-2</v>
      </c>
      <c r="O2" s="15">
        <v>5.3964129458586099E-3</v>
      </c>
    </row>
    <row r="4" spans="1:15">
      <c r="K4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A976D-B7A8-7240-A498-C6569E10ED23}">
  <dimension ref="A1:P2"/>
  <sheetViews>
    <sheetView workbookViewId="0">
      <selection activeCell="G10" sqref="G10"/>
    </sheetView>
  </sheetViews>
  <sheetFormatPr baseColWidth="10" defaultRowHeight="16"/>
  <sheetData>
    <row r="1" spans="1:16">
      <c r="A1" s="6"/>
      <c r="B1" s="5" t="s">
        <v>5</v>
      </c>
      <c r="C1" s="5" t="s">
        <v>20</v>
      </c>
      <c r="D1" s="5" t="s">
        <v>0</v>
      </c>
      <c r="E1" s="5" t="s">
        <v>1</v>
      </c>
      <c r="F1" s="5" t="s">
        <v>2</v>
      </c>
      <c r="G1" s="5" t="s">
        <v>12</v>
      </c>
      <c r="H1" s="5" t="s">
        <v>15</v>
      </c>
      <c r="I1" s="5" t="s">
        <v>16</v>
      </c>
      <c r="J1" s="5" t="s">
        <v>17</v>
      </c>
      <c r="K1" s="5" t="s">
        <v>18</v>
      </c>
      <c r="L1" s="5" t="s">
        <v>19</v>
      </c>
      <c r="M1" s="5" t="s">
        <v>3</v>
      </c>
      <c r="N1" s="5" t="s">
        <v>21</v>
      </c>
      <c r="O1" s="5" t="s">
        <v>22</v>
      </c>
      <c r="P1" s="5" t="s">
        <v>4</v>
      </c>
    </row>
    <row r="2" spans="1:16">
      <c r="A2" s="5" t="s">
        <v>25</v>
      </c>
      <c r="B2" s="7">
        <v>1.6690695059526351E-3</v>
      </c>
      <c r="C2" s="7">
        <v>4.9361297953011411E-2</v>
      </c>
      <c r="D2" s="7">
        <v>5.2519906677981759E-2</v>
      </c>
      <c r="E2" s="7">
        <v>5.1301398193681173E-2</v>
      </c>
      <c r="F2" s="7">
        <v>6.1031829529618248E-2</v>
      </c>
      <c r="G2" s="7">
        <v>4.6545005761421593E-2</v>
      </c>
      <c r="H2" s="7">
        <v>0.18145107564550961</v>
      </c>
      <c r="I2" s="7">
        <v>0.17969073629141161</v>
      </c>
      <c r="J2" s="7">
        <v>0.1889047769768934</v>
      </c>
      <c r="K2" s="7">
        <v>0.23640304142270821</v>
      </c>
      <c r="L2" s="7">
        <v>0.1823101792631594</v>
      </c>
      <c r="M2" s="7">
        <v>0.1417541878695617</v>
      </c>
      <c r="N2" s="7">
        <v>0.14071743192419789</v>
      </c>
      <c r="O2" s="7">
        <v>7.220917251146669E-2</v>
      </c>
      <c r="P2" s="7">
        <v>0.6504139972680254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F040E-BB62-BC47-9F94-DFBF923585C0}">
  <dimension ref="A1:P25"/>
  <sheetViews>
    <sheetView workbookViewId="0">
      <selection activeCell="C37" sqref="C37"/>
    </sheetView>
  </sheetViews>
  <sheetFormatPr baseColWidth="10" defaultRowHeight="16"/>
  <cols>
    <col min="1" max="1" width="79.33203125" customWidth="1"/>
    <col min="3" max="3" width="13.33203125" customWidth="1"/>
  </cols>
  <sheetData>
    <row r="1" spans="1:16">
      <c r="B1" s="3" t="s">
        <v>5</v>
      </c>
      <c r="C1" s="3" t="s">
        <v>20</v>
      </c>
      <c r="D1" s="3" t="s">
        <v>0</v>
      </c>
      <c r="E1" s="3" t="s">
        <v>1</v>
      </c>
      <c r="F1" s="3" t="s">
        <v>2</v>
      </c>
      <c r="G1" s="3" t="s">
        <v>12</v>
      </c>
      <c r="H1" s="3" t="s">
        <v>15</v>
      </c>
      <c r="I1" s="3" t="s">
        <v>16</v>
      </c>
      <c r="J1" s="3" t="s">
        <v>17</v>
      </c>
      <c r="K1" s="3" t="s">
        <v>18</v>
      </c>
      <c r="L1" s="3" t="s">
        <v>19</v>
      </c>
      <c r="M1" s="3" t="s">
        <v>3</v>
      </c>
      <c r="N1" s="3" t="s">
        <v>21</v>
      </c>
      <c r="O1" s="3" t="s">
        <v>22</v>
      </c>
      <c r="P1" s="3" t="s">
        <v>4</v>
      </c>
    </row>
    <row r="2" spans="1:16">
      <c r="A2" s="3" t="s">
        <v>5</v>
      </c>
      <c r="B2" s="12">
        <v>1</v>
      </c>
      <c r="C2" s="12">
        <v>5.7840983076082458E-2</v>
      </c>
      <c r="D2" s="12">
        <v>6.0289728345544899E-2</v>
      </c>
      <c r="E2" s="12">
        <v>1.6761107636178049E-2</v>
      </c>
      <c r="F2" s="12">
        <v>3.5057626138205511E-2</v>
      </c>
      <c r="G2" s="12">
        <v>4.6674229189699018E-2</v>
      </c>
      <c r="H2" s="12">
        <v>4.6501326280324289E-4</v>
      </c>
      <c r="I2" s="12">
        <v>1.5656845005428571E-3</v>
      </c>
      <c r="J2" s="12">
        <v>-6.0501080706275709E-3</v>
      </c>
      <c r="K2" s="12">
        <v>5.6492765350221264E-3</v>
      </c>
      <c r="L2" s="12">
        <v>-3.5109311925540241E-3</v>
      </c>
      <c r="M2" s="12">
        <v>-5.4438554038525487E-3</v>
      </c>
      <c r="N2" s="12">
        <v>5.9319534497850032E-2</v>
      </c>
      <c r="O2" s="12">
        <v>1.4983929792698121E-2</v>
      </c>
      <c r="P2" s="12">
        <v>-6.5313397056174288E-3</v>
      </c>
    </row>
    <row r="3" spans="1:16">
      <c r="A3" s="3" t="s">
        <v>20</v>
      </c>
      <c r="B3" s="12">
        <v>5.7840983076082458E-2</v>
      </c>
      <c r="C3" s="12">
        <v>1</v>
      </c>
      <c r="D3" s="12">
        <v>0.72990934442675925</v>
      </c>
      <c r="E3" s="12">
        <v>9.6087319590123954E-2</v>
      </c>
      <c r="F3" s="12">
        <v>7.188397349362094E-2</v>
      </c>
      <c r="G3" s="12">
        <v>0.45856456534587681</v>
      </c>
      <c r="H3" s="12">
        <v>-0.14982662790814061</v>
      </c>
      <c r="I3" s="12">
        <v>-8.3145521545325618E-2</v>
      </c>
      <c r="J3" s="12">
        <v>0.10440655641248869</v>
      </c>
      <c r="K3" s="12">
        <v>-7.9608439423414626E-2</v>
      </c>
      <c r="L3" s="12">
        <v>-0.1054775392741189</v>
      </c>
      <c r="M3" s="12">
        <v>-9.5803788862888498E-2</v>
      </c>
      <c r="N3" s="12">
        <v>0.35299072527498621</v>
      </c>
      <c r="O3" s="12">
        <v>1.1326282455764799E-2</v>
      </c>
      <c r="P3" s="12">
        <v>1.342480846862633E-4</v>
      </c>
    </row>
    <row r="4" spans="1:16">
      <c r="A4" s="3" t="s">
        <v>0</v>
      </c>
      <c r="B4" s="12">
        <v>6.0289728345544899E-2</v>
      </c>
      <c r="C4" s="13">
        <v>0.72990934442675925</v>
      </c>
      <c r="D4" s="13">
        <v>1</v>
      </c>
      <c r="E4" s="12">
        <v>0.48115515299919198</v>
      </c>
      <c r="F4" s="12">
        <v>0.47650762778136307</v>
      </c>
      <c r="G4" s="12">
        <v>0.69631638116959216</v>
      </c>
      <c r="H4" s="12">
        <v>3.1953108603334342E-2</v>
      </c>
      <c r="I4" s="12">
        <v>0.27906203909599092</v>
      </c>
      <c r="J4" s="12">
        <v>0.2802763319389428</v>
      </c>
      <c r="K4" s="12">
        <v>8.2535387882711489E-2</v>
      </c>
      <c r="L4" s="12">
        <v>8.5481850233602052E-2</v>
      </c>
      <c r="M4" s="12">
        <v>0.1026465626095525</v>
      </c>
      <c r="N4" s="12">
        <v>0.45322479913648428</v>
      </c>
      <c r="O4" s="12">
        <v>4.9815776427789983E-2</v>
      </c>
      <c r="P4" s="12">
        <v>7.0901423882725342E-2</v>
      </c>
    </row>
    <row r="5" spans="1:16">
      <c r="A5" s="3" t="s">
        <v>1</v>
      </c>
      <c r="B5" s="12">
        <v>1.6761107636178049E-2</v>
      </c>
      <c r="C5" s="12">
        <v>9.6087319590123954E-2</v>
      </c>
      <c r="D5" s="13">
        <v>0.48115515299919198</v>
      </c>
      <c r="E5" s="13">
        <v>1</v>
      </c>
      <c r="F5" s="12">
        <v>0.59777559326241503</v>
      </c>
      <c r="G5" s="12">
        <v>0.80529092745964315</v>
      </c>
      <c r="H5" s="12">
        <v>0.49862197930694652</v>
      </c>
      <c r="I5" s="12">
        <v>0.70111616409785926</v>
      </c>
      <c r="J5" s="12">
        <v>0.35952336544706331</v>
      </c>
      <c r="K5" s="12">
        <v>0.36486745867696568</v>
      </c>
      <c r="L5" s="12">
        <v>0.45478138164385967</v>
      </c>
      <c r="M5" s="12">
        <v>0.32206652758452547</v>
      </c>
      <c r="N5" s="12">
        <v>0.16572388019966869</v>
      </c>
      <c r="O5" s="12">
        <v>9.5077552785472544E-2</v>
      </c>
      <c r="P5" s="12">
        <v>0.14549835636293271</v>
      </c>
    </row>
    <row r="6" spans="1:16">
      <c r="A6" s="3" t="s">
        <v>2</v>
      </c>
      <c r="B6" s="13">
        <v>3.5057626138205511E-2</v>
      </c>
      <c r="C6" s="13">
        <v>7.188397349362094E-2</v>
      </c>
      <c r="D6" s="13">
        <v>0.47650762778136307</v>
      </c>
      <c r="E6" s="13">
        <v>0.59777559326241503</v>
      </c>
      <c r="F6" s="13">
        <v>1</v>
      </c>
      <c r="G6" s="12">
        <v>0.61705114925950699</v>
      </c>
      <c r="H6" s="12">
        <v>0.24299876353897709</v>
      </c>
      <c r="I6" s="12">
        <v>0.53262979364312946</v>
      </c>
      <c r="J6" s="12">
        <v>0.294621088852906</v>
      </c>
      <c r="K6" s="12">
        <v>0.4173041155514941</v>
      </c>
      <c r="L6" s="12">
        <v>0.41952346274240832</v>
      </c>
      <c r="M6" s="12">
        <v>0.28835977257048401</v>
      </c>
      <c r="N6" s="12">
        <v>0.20639192311078089</v>
      </c>
      <c r="O6" s="12">
        <v>5.1102843241643089E-2</v>
      </c>
      <c r="P6" s="12">
        <v>4.2749925844516701E-2</v>
      </c>
    </row>
    <row r="7" spans="1:16">
      <c r="A7" s="3" t="s">
        <v>12</v>
      </c>
      <c r="B7" s="13">
        <v>4.6674229189699018E-2</v>
      </c>
      <c r="C7" s="13">
        <v>0.45856456534587681</v>
      </c>
      <c r="D7" s="13">
        <v>0.69631638116959216</v>
      </c>
      <c r="E7" s="13">
        <v>0.80529092745964315</v>
      </c>
      <c r="F7" s="13">
        <v>0.61705114925950699</v>
      </c>
      <c r="G7" s="13">
        <v>1</v>
      </c>
      <c r="H7" s="12">
        <v>0.32433724759135613</v>
      </c>
      <c r="I7" s="12">
        <v>0.5441965900211897</v>
      </c>
      <c r="J7" s="12">
        <v>0.34920516677785202</v>
      </c>
      <c r="K7" s="12">
        <v>0.30265573470035761</v>
      </c>
      <c r="L7" s="12">
        <v>0.37088961774588491</v>
      </c>
      <c r="M7" s="12">
        <v>0.20753596731643459</v>
      </c>
      <c r="N7" s="12">
        <v>0.27129198066673371</v>
      </c>
      <c r="O7" s="12">
        <v>7.9647000865742071E-2</v>
      </c>
      <c r="P7" s="12">
        <v>0.10650758732124981</v>
      </c>
    </row>
    <row r="8" spans="1:16">
      <c r="A8" s="3" t="s">
        <v>15</v>
      </c>
      <c r="B8" s="13">
        <v>4.6501326280324289E-4</v>
      </c>
      <c r="C8" s="13">
        <v>-0.14982662790814061</v>
      </c>
      <c r="D8" s="13">
        <v>3.1953108603334342E-2</v>
      </c>
      <c r="E8" s="13">
        <v>0.49862197930694652</v>
      </c>
      <c r="F8" s="13">
        <v>0.24299876353897709</v>
      </c>
      <c r="G8" s="13">
        <v>0.32433724759135613</v>
      </c>
      <c r="H8" s="13">
        <v>1</v>
      </c>
      <c r="I8" s="12">
        <v>0.52698980652019434</v>
      </c>
      <c r="J8" s="12">
        <v>0.1017990609421358</v>
      </c>
      <c r="K8" s="12">
        <v>0.2828831140740522</v>
      </c>
      <c r="L8" s="12">
        <v>0.26687195577509948</v>
      </c>
      <c r="M8" s="12">
        <v>0.29511896748534328</v>
      </c>
      <c r="N8" s="12">
        <v>4.3340963492334378E-2</v>
      </c>
      <c r="O8" s="12">
        <v>9.9799989363569055E-2</v>
      </c>
      <c r="P8" s="12">
        <v>0.2360149227206281</v>
      </c>
    </row>
    <row r="9" spans="1:16">
      <c r="A9" s="3" t="s">
        <v>16</v>
      </c>
      <c r="B9" s="13">
        <v>1.5656845005428571E-3</v>
      </c>
      <c r="C9" s="13">
        <v>-8.3145521545325618E-2</v>
      </c>
      <c r="D9" s="13">
        <v>0.27906203909599092</v>
      </c>
      <c r="E9" s="13">
        <v>0.70111616409785926</v>
      </c>
      <c r="F9" s="13">
        <v>0.53262979364312946</v>
      </c>
      <c r="G9" s="13">
        <v>0.5441965900211897</v>
      </c>
      <c r="H9" s="13">
        <v>0.52698980652019434</v>
      </c>
      <c r="I9" s="13">
        <v>1</v>
      </c>
      <c r="J9" s="12">
        <v>0.31436385073635797</v>
      </c>
      <c r="K9" s="12">
        <v>0.39353225463067321</v>
      </c>
      <c r="L9" s="12">
        <v>0.45473039207635652</v>
      </c>
      <c r="M9" s="12">
        <v>0.31695195047629859</v>
      </c>
      <c r="N9" s="12">
        <v>9.6057243738523562E-2</v>
      </c>
      <c r="O9" s="12">
        <v>7.4443583412448694E-2</v>
      </c>
      <c r="P9" s="12">
        <v>0.1600897572273019</v>
      </c>
    </row>
    <row r="10" spans="1:16">
      <c r="A10" s="3" t="s">
        <v>17</v>
      </c>
      <c r="B10" s="13">
        <v>-6.0501080706275709E-3</v>
      </c>
      <c r="C10" s="13">
        <v>0.10440655641248869</v>
      </c>
      <c r="D10" s="13">
        <v>0.2802763319389428</v>
      </c>
      <c r="E10" s="13">
        <v>0.35952336544706331</v>
      </c>
      <c r="F10" s="13">
        <v>0.294621088852906</v>
      </c>
      <c r="G10" s="13">
        <v>0.34920516677785202</v>
      </c>
      <c r="H10" s="13">
        <v>0.1017990609421358</v>
      </c>
      <c r="I10" s="13">
        <v>0.31436385073635797</v>
      </c>
      <c r="J10" s="13">
        <v>1</v>
      </c>
      <c r="K10" s="12">
        <v>0.3061732261294029</v>
      </c>
      <c r="L10" s="12">
        <v>0.26898493380621052</v>
      </c>
      <c r="M10" s="12">
        <v>0.13797702465896211</v>
      </c>
      <c r="N10" s="12">
        <v>0.15527149180855321</v>
      </c>
      <c r="O10" s="12">
        <v>7.4792800120219646E-2</v>
      </c>
      <c r="P10" s="12">
        <v>4.5205867805842292E-2</v>
      </c>
    </row>
    <row r="11" spans="1:16">
      <c r="A11" s="3" t="s">
        <v>18</v>
      </c>
      <c r="B11" s="13">
        <v>5.6492765350221264E-3</v>
      </c>
      <c r="C11" s="13">
        <v>-7.9608439423414626E-2</v>
      </c>
      <c r="D11" s="13">
        <v>8.2535387882711489E-2</v>
      </c>
      <c r="E11" s="13">
        <v>0.36486745867696568</v>
      </c>
      <c r="F11" s="13">
        <v>0.4173041155514941</v>
      </c>
      <c r="G11" s="13">
        <v>0.30265573470035761</v>
      </c>
      <c r="H11" s="13">
        <v>0.2828831140740522</v>
      </c>
      <c r="I11" s="13">
        <v>0.39353225463067321</v>
      </c>
      <c r="J11" s="13">
        <v>0.3061732261294029</v>
      </c>
      <c r="K11" s="13">
        <v>1</v>
      </c>
      <c r="L11" s="12">
        <v>0.37265011615338112</v>
      </c>
      <c r="M11" s="12">
        <v>0.21998218799429589</v>
      </c>
      <c r="N11" s="12">
        <v>6.8681371472618435E-2</v>
      </c>
      <c r="O11" s="12">
        <v>4.1245803552827101E-2</v>
      </c>
      <c r="P11" s="12">
        <v>7.1438394049707116E-2</v>
      </c>
    </row>
    <row r="12" spans="1:16">
      <c r="A12" s="3" t="s">
        <v>19</v>
      </c>
      <c r="B12" s="13">
        <v>-3.5109311925540241E-3</v>
      </c>
      <c r="C12" s="13">
        <v>-0.1054775392741189</v>
      </c>
      <c r="D12" s="13">
        <v>8.5481850233602052E-2</v>
      </c>
      <c r="E12" s="13">
        <v>0.45478138164385967</v>
      </c>
      <c r="F12" s="13">
        <v>0.41952346274240832</v>
      </c>
      <c r="G12" s="13">
        <v>0.37088961774588491</v>
      </c>
      <c r="H12" s="13">
        <v>0.26687195577509948</v>
      </c>
      <c r="I12" s="13">
        <v>0.45473039207635652</v>
      </c>
      <c r="J12" s="13">
        <v>0.26898493380621052</v>
      </c>
      <c r="K12" s="13">
        <v>0.37265011615338112</v>
      </c>
      <c r="L12" s="13">
        <v>1</v>
      </c>
      <c r="M12" s="12">
        <v>0.15928197935811961</v>
      </c>
      <c r="N12" s="12">
        <v>2.2792672415766581E-2</v>
      </c>
      <c r="O12" s="12">
        <v>3.04816201004783E-2</v>
      </c>
      <c r="P12" s="12">
        <v>5.0988529265690689E-2</v>
      </c>
    </row>
    <row r="13" spans="1:16">
      <c r="A13" s="3" t="s">
        <v>3</v>
      </c>
      <c r="B13" s="13">
        <v>-5.4438554038525487E-3</v>
      </c>
      <c r="C13" s="13">
        <v>-9.5803788862888498E-2</v>
      </c>
      <c r="D13" s="13">
        <v>0.1026465626095525</v>
      </c>
      <c r="E13" s="13">
        <v>0.32206652758452547</v>
      </c>
      <c r="F13" s="13">
        <v>0.28835977257048401</v>
      </c>
      <c r="G13" s="13">
        <v>0.20753596731643459</v>
      </c>
      <c r="H13" s="13">
        <v>0.29511896748534328</v>
      </c>
      <c r="I13" s="13">
        <v>0.31695195047629859</v>
      </c>
      <c r="J13" s="13">
        <v>0.13797702465896211</v>
      </c>
      <c r="K13" s="13">
        <v>0.21998218799429589</v>
      </c>
      <c r="L13" s="13">
        <v>0.15928197935811961</v>
      </c>
      <c r="M13" s="13">
        <v>1</v>
      </c>
      <c r="N13" s="12">
        <v>0.34360502923039588</v>
      </c>
      <c r="O13" s="12">
        <v>3.9332205537222178E-2</v>
      </c>
      <c r="P13" s="12">
        <v>0.1086830770920057</v>
      </c>
    </row>
    <row r="14" spans="1:16">
      <c r="A14" s="3" t="s">
        <v>21</v>
      </c>
      <c r="B14" s="13">
        <v>5.9319534497850032E-2</v>
      </c>
      <c r="C14" s="13">
        <v>0.35299072527498621</v>
      </c>
      <c r="D14" s="13">
        <v>0.45322479913648428</v>
      </c>
      <c r="E14" s="13">
        <v>0.16572388019966869</v>
      </c>
      <c r="F14" s="13">
        <v>0.20639192311078089</v>
      </c>
      <c r="G14" s="13">
        <v>0.27129198066673371</v>
      </c>
      <c r="H14" s="13">
        <v>4.3340963492334378E-2</v>
      </c>
      <c r="I14" s="13">
        <v>9.6057243738523562E-2</v>
      </c>
      <c r="J14" s="13">
        <v>0.15527149180855321</v>
      </c>
      <c r="K14" s="13">
        <v>6.8681371472618435E-2</v>
      </c>
      <c r="L14" s="13">
        <v>2.2792672415766581E-2</v>
      </c>
      <c r="M14" s="13">
        <v>0.34360502923039588</v>
      </c>
      <c r="N14" s="13">
        <v>1</v>
      </c>
      <c r="O14" s="12">
        <v>3.9535111551911972E-2</v>
      </c>
      <c r="P14" s="12">
        <v>9.0573022384822052E-2</v>
      </c>
    </row>
    <row r="15" spans="1:16">
      <c r="A15" s="3" t="s">
        <v>22</v>
      </c>
      <c r="B15" s="13">
        <v>1.4983929792698121E-2</v>
      </c>
      <c r="C15" s="13">
        <v>1.1326282455764799E-2</v>
      </c>
      <c r="D15" s="13">
        <v>4.9815776427789983E-2</v>
      </c>
      <c r="E15" s="13">
        <v>9.5077552785472544E-2</v>
      </c>
      <c r="F15" s="13">
        <v>5.1102843241643089E-2</v>
      </c>
      <c r="G15" s="13">
        <v>7.9647000865742071E-2</v>
      </c>
      <c r="H15" s="13">
        <v>9.9799989363569055E-2</v>
      </c>
      <c r="I15" s="13">
        <v>7.4443583412448694E-2</v>
      </c>
      <c r="J15" s="13">
        <v>7.4792800120219646E-2</v>
      </c>
      <c r="K15" s="13">
        <v>4.1245803552827101E-2</v>
      </c>
      <c r="L15" s="13">
        <v>3.04816201004783E-2</v>
      </c>
      <c r="M15" s="13">
        <v>3.9332205537222178E-2</v>
      </c>
      <c r="N15" s="13">
        <v>3.9535111551911972E-2</v>
      </c>
      <c r="O15" s="13">
        <v>1</v>
      </c>
      <c r="P15" s="12">
        <v>6.0631766407820642E-2</v>
      </c>
    </row>
    <row r="16" spans="1:16">
      <c r="A16" s="3" t="s">
        <v>4</v>
      </c>
      <c r="B16" s="14">
        <v>-6.5313397056174288E-3</v>
      </c>
      <c r="C16" s="14">
        <v>1.342480846862633E-4</v>
      </c>
      <c r="D16" s="14">
        <v>7.0901423882725342E-2</v>
      </c>
      <c r="E16" s="14">
        <v>0.14549835636293271</v>
      </c>
      <c r="F16" s="14">
        <v>4.2749925844516701E-2</v>
      </c>
      <c r="G16" s="14">
        <v>0.10650758732124981</v>
      </c>
      <c r="H16" s="14">
        <v>0.2360149227206281</v>
      </c>
      <c r="I16" s="14">
        <v>0.1600897572273019</v>
      </c>
      <c r="J16" s="14">
        <v>4.5205867805842292E-2</v>
      </c>
      <c r="K16" s="14">
        <v>7.1438394049707116E-2</v>
      </c>
      <c r="L16" s="14">
        <v>5.0988529265690689E-2</v>
      </c>
      <c r="M16" s="14">
        <v>0.1086830770920057</v>
      </c>
      <c r="N16" s="14">
        <v>9.0573022384822052E-2</v>
      </c>
      <c r="O16" s="14">
        <v>6.0631766407820642E-2</v>
      </c>
      <c r="P16" s="13">
        <v>1</v>
      </c>
    </row>
    <row r="22" spans="2:16" ht="16" customHeight="1">
      <c r="B22" s="10"/>
      <c r="C22" s="10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</row>
    <row r="23" spans="2:16">
      <c r="B23" s="11"/>
      <c r="C23" s="11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</row>
    <row r="24" spans="2:16">
      <c r="B24" s="11"/>
      <c r="C24" s="11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</row>
    <row r="25" spans="2:16">
      <c r="B25" s="11"/>
      <c r="C25" s="11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</row>
  </sheetData>
  <conditionalFormatting sqref="B5:E5 B6:F6 B8:H8 B9:I15 J11:K11 J12:L12 J13:M13 J14:N14 J15:O15 B4:D4 B7:G7">
    <cfRule type="cellIs" dxfId="7" priority="8" operator="equal">
      <formula>1</formula>
    </cfRule>
  </conditionalFormatting>
  <conditionalFormatting sqref="B2:C3 D2:P2 D3 E3:E4 F3:F5 G3:G6 H3:H7 I3:I8 J3:J9 K3:K10 L3:L11 M3:M12 N3:N13 O3:O14 P3:P15">
    <cfRule type="cellIs" dxfId="6" priority="7" operator="equal">
      <formula>1</formula>
    </cfRule>
  </conditionalFormatting>
  <conditionalFormatting sqref="J10">
    <cfRule type="cellIs" dxfId="5" priority="6" operator="equal">
      <formula>1</formula>
    </cfRule>
  </conditionalFormatting>
  <conditionalFormatting sqref="P16">
    <cfRule type="cellIs" dxfId="4" priority="5" operator="equal">
      <formula>1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4FD5C-CB86-874F-9624-BF8B47C42749}">
  <dimension ref="A1:A2"/>
  <sheetViews>
    <sheetView showGridLines="0" workbookViewId="0">
      <selection activeCell="D10" sqref="D10"/>
    </sheetView>
  </sheetViews>
  <sheetFormatPr baseColWidth="10" defaultRowHeight="16"/>
  <sheetData>
    <row r="1" spans="1:1">
      <c r="A1" s="1" t="s">
        <v>23</v>
      </c>
    </row>
    <row r="2" spans="1:1">
      <c r="A2" s="2">
        <v>0.100717436004119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0F18F-6681-3A4B-A7CE-8CFBA32DB0DC}">
  <dimension ref="A1:P3"/>
  <sheetViews>
    <sheetView zoomScale="138" zoomScaleNormal="81" workbookViewId="0">
      <selection sqref="A1:P3"/>
    </sheetView>
  </sheetViews>
  <sheetFormatPr baseColWidth="10" defaultRowHeight="16"/>
  <cols>
    <col min="2" max="7" width="14.33203125" bestFit="1" customWidth="1"/>
    <col min="8" max="8" width="13.1640625" bestFit="1" customWidth="1"/>
    <col min="9" max="16" width="14.33203125" bestFit="1" customWidth="1"/>
  </cols>
  <sheetData>
    <row r="1" spans="1:16">
      <c r="A1" s="6"/>
      <c r="B1" s="5" t="s">
        <v>5</v>
      </c>
      <c r="C1" s="5" t="s">
        <v>20</v>
      </c>
      <c r="D1" s="5" t="s">
        <v>0</v>
      </c>
      <c r="E1" s="5" t="s">
        <v>1</v>
      </c>
      <c r="F1" s="5" t="s">
        <v>2</v>
      </c>
      <c r="G1" s="5" t="s">
        <v>12</v>
      </c>
      <c r="H1" s="5" t="s">
        <v>15</v>
      </c>
      <c r="I1" s="5" t="s">
        <v>16</v>
      </c>
      <c r="J1" s="5" t="s">
        <v>17</v>
      </c>
      <c r="K1" s="5" t="s">
        <v>18</v>
      </c>
      <c r="L1" s="5" t="s">
        <v>19</v>
      </c>
      <c r="M1" s="5" t="s">
        <v>3</v>
      </c>
      <c r="N1" s="5" t="s">
        <v>21</v>
      </c>
      <c r="O1" s="5" t="s">
        <v>22</v>
      </c>
      <c r="P1" s="5" t="s">
        <v>4</v>
      </c>
    </row>
    <row r="2" spans="1:16">
      <c r="A2" s="5" t="s">
        <v>10</v>
      </c>
      <c r="B2" s="7">
        <v>3.1E-2</v>
      </c>
      <c r="C2" s="7">
        <v>3.7999999999999999E-2</v>
      </c>
      <c r="D2" s="7">
        <v>0.05</v>
      </c>
      <c r="E2" s="7">
        <v>6.0999999999999999E-2</v>
      </c>
      <c r="F2" s="7">
        <v>6.0999999999999999E-2</v>
      </c>
      <c r="G2" s="7">
        <v>6.2E-2</v>
      </c>
      <c r="H2" s="7">
        <v>8.6999999999999994E-2</v>
      </c>
      <c r="I2" s="7">
        <v>8.5000000000000006E-2</v>
      </c>
      <c r="J2" s="7">
        <v>0.09</v>
      </c>
      <c r="K2" s="7">
        <v>7.8E-2</v>
      </c>
      <c r="L2" s="7">
        <v>7.9000000000000001E-2</v>
      </c>
      <c r="M2" s="7">
        <v>3.7999999999999999E-2</v>
      </c>
      <c r="N2" s="7">
        <v>4.7E-2</v>
      </c>
      <c r="O2" s="7">
        <v>4.9000000000000002E-2</v>
      </c>
      <c r="P2" s="7">
        <v>0.4</v>
      </c>
    </row>
    <row r="3" spans="1:16">
      <c r="A3" s="5" t="s">
        <v>11</v>
      </c>
      <c r="B3" s="7">
        <v>6.4868130516222292E-3</v>
      </c>
      <c r="C3" s="7">
        <v>3.3429979175079061E-2</v>
      </c>
      <c r="D3" s="7">
        <v>7.2796409892134456E-2</v>
      </c>
      <c r="E3" s="7">
        <v>8.5168666438478285E-2</v>
      </c>
      <c r="F3" s="7">
        <v>0.12147866679255476</v>
      </c>
      <c r="G3" s="7">
        <v>8.9645546287730943E-2</v>
      </c>
      <c r="H3" s="7">
        <v>0.16263146282218208</v>
      </c>
      <c r="I3" s="7">
        <v>0.22057237899826931</v>
      </c>
      <c r="J3" s="7">
        <v>0.15675283311040614</v>
      </c>
      <c r="K3" s="7">
        <v>0.28850101608512424</v>
      </c>
      <c r="L3" s="7">
        <v>0.21079779807751492</v>
      </c>
      <c r="M3" s="7">
        <v>0.18102116941477076</v>
      </c>
      <c r="N3" s="7">
        <v>0.16764917329638832</v>
      </c>
      <c r="O3" s="7">
        <v>5.7999453611358429E-2</v>
      </c>
      <c r="P3" s="7">
        <v>0.45</v>
      </c>
    </row>
  </sheetData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425A1-FAD0-3646-8E2D-B99995778984}">
  <dimension ref="A1:P25"/>
  <sheetViews>
    <sheetView zoomScale="161" workbookViewId="0">
      <selection activeCell="A39" sqref="A39"/>
    </sheetView>
  </sheetViews>
  <sheetFormatPr baseColWidth="10" defaultRowHeight="16"/>
  <cols>
    <col min="1" max="1" width="79.33203125" customWidth="1"/>
    <col min="3" max="3" width="13.33203125" customWidth="1"/>
  </cols>
  <sheetData>
    <row r="1" spans="1:16">
      <c r="B1" s="3" t="s">
        <v>5</v>
      </c>
      <c r="C1" s="3" t="s">
        <v>20</v>
      </c>
      <c r="D1" s="3" t="s">
        <v>0</v>
      </c>
      <c r="E1" s="3" t="s">
        <v>1</v>
      </c>
      <c r="F1" s="3" t="s">
        <v>2</v>
      </c>
      <c r="G1" s="3" t="s">
        <v>12</v>
      </c>
      <c r="H1" s="3" t="s">
        <v>15</v>
      </c>
      <c r="I1" s="3" t="s">
        <v>16</v>
      </c>
      <c r="J1" s="3" t="s">
        <v>17</v>
      </c>
      <c r="K1" s="3" t="s">
        <v>18</v>
      </c>
      <c r="L1" s="3" t="s">
        <v>19</v>
      </c>
      <c r="M1" s="3" t="s">
        <v>3</v>
      </c>
      <c r="N1" s="3" t="s">
        <v>21</v>
      </c>
      <c r="O1" s="3" t="s">
        <v>22</v>
      </c>
      <c r="P1" s="3" t="s">
        <v>4</v>
      </c>
    </row>
    <row r="2" spans="1:16">
      <c r="A2" s="3" t="s">
        <v>5</v>
      </c>
      <c r="B2" s="12">
        <v>1</v>
      </c>
      <c r="C2" s="12">
        <v>0.16689461475851841</v>
      </c>
      <c r="D2" s="12">
        <v>1.0847827934445451E-2</v>
      </c>
      <c r="E2" s="12">
        <v>-5.3612824224003E-2</v>
      </c>
      <c r="F2" s="12">
        <v>8.9757380949615911E-2</v>
      </c>
      <c r="G2" s="12">
        <v>-1.8741013959548549E-2</v>
      </c>
      <c r="H2" s="12">
        <v>-4.9663086431913622E-3</v>
      </c>
      <c r="I2" s="12">
        <v>4.9986364743481858E-2</v>
      </c>
      <c r="J2" s="12">
        <v>-3.7527309500736965E-3</v>
      </c>
      <c r="K2" s="12">
        <v>6.2493157155049432E-2</v>
      </c>
      <c r="L2" s="12">
        <v>2.5262055442733057E-2</v>
      </c>
      <c r="M2" s="12">
        <v>-2.8837435446479934E-2</v>
      </c>
      <c r="N2" s="12">
        <v>0.10176785061936527</v>
      </c>
      <c r="O2" s="12">
        <v>5.6303884133766932E-3</v>
      </c>
      <c r="P2" s="12">
        <v>5.1792605131888124E-3</v>
      </c>
    </row>
    <row r="3" spans="1:16">
      <c r="A3" s="3" t="s">
        <v>20</v>
      </c>
      <c r="B3" s="12">
        <v>0.16689461475851841</v>
      </c>
      <c r="C3" s="12">
        <v>0.99999999999999978</v>
      </c>
      <c r="D3" s="12">
        <v>0.8</v>
      </c>
      <c r="E3" s="12">
        <v>-2.3211865137885101E-2</v>
      </c>
      <c r="F3" s="12">
        <v>0.21681552803851367</v>
      </c>
      <c r="G3" s="12">
        <v>0.19319791055288027</v>
      </c>
      <c r="H3" s="12">
        <v>-6.3003529730895888E-2</v>
      </c>
      <c r="I3" s="12">
        <v>-2.2260638478483863E-2</v>
      </c>
      <c r="J3" s="12">
        <v>-6.7732550206685638E-3</v>
      </c>
      <c r="K3" s="12">
        <v>-5.1706550350255898E-2</v>
      </c>
      <c r="L3" s="12">
        <v>-4.9063338706909966E-2</v>
      </c>
      <c r="M3" s="12">
        <v>-0.17023383181184706</v>
      </c>
      <c r="N3" s="12">
        <v>0.35554365694823126</v>
      </c>
      <c r="O3" s="12">
        <v>1.5500758076833741E-2</v>
      </c>
      <c r="P3" s="12">
        <v>-1.046696836132968E-2</v>
      </c>
    </row>
    <row r="4" spans="1:16">
      <c r="A4" s="3" t="s">
        <v>0</v>
      </c>
      <c r="B4" s="12">
        <v>1.0847827934445451E-2</v>
      </c>
      <c r="C4" s="13">
        <v>0.8</v>
      </c>
      <c r="D4" s="13">
        <v>1.0000000000000002</v>
      </c>
      <c r="E4" s="12">
        <v>0.65742176863964419</v>
      </c>
      <c r="F4" s="12">
        <v>0.61446511242051682</v>
      </c>
      <c r="G4" s="12">
        <v>0.79863591212594265</v>
      </c>
      <c r="H4" s="12">
        <v>0.48597615445310727</v>
      </c>
      <c r="I4" s="12">
        <v>0.50347744494667057</v>
      </c>
      <c r="J4" s="12">
        <v>0.52262521903495296</v>
      </c>
      <c r="K4" s="12">
        <v>0.28766472441860558</v>
      </c>
      <c r="L4" s="12">
        <v>0.52719149362343742</v>
      </c>
      <c r="M4" s="12">
        <v>0.18966889049402685</v>
      </c>
      <c r="N4" s="12">
        <v>0.36480036112360509</v>
      </c>
      <c r="O4" s="12">
        <v>4.4450346694076347E-2</v>
      </c>
      <c r="P4" s="12">
        <v>9.8732005910581372E-2</v>
      </c>
    </row>
    <row r="5" spans="1:16">
      <c r="A5" s="3" t="s">
        <v>1</v>
      </c>
      <c r="B5" s="12">
        <v>-5.3612824224003E-2</v>
      </c>
      <c r="C5" s="12">
        <v>-2.3211865137885101E-2</v>
      </c>
      <c r="D5" s="13">
        <v>0.65742176863964419</v>
      </c>
      <c r="E5" s="13">
        <v>1</v>
      </c>
      <c r="F5" s="12">
        <v>0.62491815106401716</v>
      </c>
      <c r="G5" s="12">
        <v>0.72838642839846379</v>
      </c>
      <c r="H5" s="12">
        <v>0.74147981579713917</v>
      </c>
      <c r="I5" s="12">
        <v>0.72598485402173485</v>
      </c>
      <c r="J5" s="12">
        <v>0.6721570456787983</v>
      </c>
      <c r="K5" s="12">
        <v>0.34456279640166992</v>
      </c>
      <c r="L5" s="12">
        <v>0.72128294507367552</v>
      </c>
      <c r="M5" s="12">
        <v>0.44071179813641975</v>
      </c>
      <c r="N5" s="12">
        <v>0.13483021422504474</v>
      </c>
      <c r="O5" s="12">
        <v>8.5216331716323535E-2</v>
      </c>
      <c r="P5" s="12">
        <v>0.209631433580836</v>
      </c>
    </row>
    <row r="6" spans="1:16">
      <c r="A6" s="3" t="s">
        <v>2</v>
      </c>
      <c r="B6" s="13">
        <v>8.9757380949615911E-2</v>
      </c>
      <c r="C6" s="13">
        <v>0.21681552803851367</v>
      </c>
      <c r="D6" s="13">
        <v>0.61446511242051682</v>
      </c>
      <c r="E6" s="13">
        <v>0.62491815106401716</v>
      </c>
      <c r="F6" s="13">
        <v>1</v>
      </c>
      <c r="G6" s="12">
        <v>0.72673563743678449</v>
      </c>
      <c r="H6" s="12">
        <v>0.59732715234318656</v>
      </c>
      <c r="I6" s="12">
        <v>0.72719942756106803</v>
      </c>
      <c r="J6" s="12">
        <v>0.62282769701782481</v>
      </c>
      <c r="K6" s="12">
        <v>0.35711596108272914</v>
      </c>
      <c r="L6" s="12">
        <v>0.79896058956541471</v>
      </c>
      <c r="M6" s="12">
        <v>0.44820956579685478</v>
      </c>
      <c r="N6" s="12">
        <v>0.38813792440929851</v>
      </c>
      <c r="O6" s="12">
        <v>3.6507528512002951E-2</v>
      </c>
      <c r="P6" s="12">
        <v>0.12921461831826669</v>
      </c>
    </row>
    <row r="7" spans="1:16">
      <c r="A7" s="3" t="s">
        <v>12</v>
      </c>
      <c r="B7" s="13">
        <v>-1.8741013959548549E-2</v>
      </c>
      <c r="C7" s="13">
        <v>0.19319791055288027</v>
      </c>
      <c r="D7" s="13">
        <v>0.79863591212594265</v>
      </c>
      <c r="E7" s="13">
        <v>0.72838642839846379</v>
      </c>
      <c r="F7" s="13">
        <v>0.72673563743678449</v>
      </c>
      <c r="G7" s="13">
        <v>0.99999999999999978</v>
      </c>
      <c r="H7" s="12">
        <v>0.56767689091885976</v>
      </c>
      <c r="I7" s="12">
        <v>0.62156834239037062</v>
      </c>
      <c r="J7" s="12">
        <v>0.58020468620449372</v>
      </c>
      <c r="K7" s="12">
        <v>0.39901689071109836</v>
      </c>
      <c r="L7" s="12">
        <v>0.7009562474593849</v>
      </c>
      <c r="M7" s="12">
        <v>0.34094260645621505</v>
      </c>
      <c r="N7" s="12">
        <v>0.31308220851562846</v>
      </c>
      <c r="O7" s="12">
        <v>7.7501408066640284E-2</v>
      </c>
      <c r="P7" s="12">
        <v>0.14500273996496391</v>
      </c>
    </row>
    <row r="8" spans="1:16">
      <c r="A8" s="3" t="s">
        <v>15</v>
      </c>
      <c r="B8" s="13">
        <v>-4.9663086431913622E-3</v>
      </c>
      <c r="C8" s="13">
        <v>-6.3003529730895888E-2</v>
      </c>
      <c r="D8" s="13">
        <v>0.48597615445310727</v>
      </c>
      <c r="E8" s="13">
        <v>0.74147981579713917</v>
      </c>
      <c r="F8" s="13">
        <v>0.59732715234318656</v>
      </c>
      <c r="G8" s="13">
        <v>0.56767689091885976</v>
      </c>
      <c r="H8" s="13">
        <v>1.0000000000000002</v>
      </c>
      <c r="I8" s="12">
        <v>0.84857499861889529</v>
      </c>
      <c r="J8" s="12">
        <v>0.74351962676598971</v>
      </c>
      <c r="K8" s="12">
        <v>0.35259234468444417</v>
      </c>
      <c r="L8" s="12">
        <v>0.74262354085733751</v>
      </c>
      <c r="M8" s="12">
        <v>0.43615308468066782</v>
      </c>
      <c r="N8" s="12">
        <v>3.7008566279138608E-2</v>
      </c>
      <c r="O8" s="12">
        <v>0.1036370416564054</v>
      </c>
      <c r="P8" s="12">
        <v>0.37921265774502261</v>
      </c>
    </row>
    <row r="9" spans="1:16">
      <c r="A9" s="3" t="s">
        <v>16</v>
      </c>
      <c r="B9" s="13">
        <v>4.9986364743481858E-2</v>
      </c>
      <c r="C9" s="13">
        <v>-2.2260638478483863E-2</v>
      </c>
      <c r="D9" s="13">
        <v>0.50347744494667057</v>
      </c>
      <c r="E9" s="13">
        <v>0.72598485402173485</v>
      </c>
      <c r="F9" s="13">
        <v>0.72719942756106803</v>
      </c>
      <c r="G9" s="13">
        <v>0.62156834239037062</v>
      </c>
      <c r="H9" s="13">
        <v>0.84857499861889529</v>
      </c>
      <c r="I9" s="13">
        <v>0.99999999999999989</v>
      </c>
      <c r="J9" s="12">
        <v>0.76850997839942436</v>
      </c>
      <c r="K9" s="12">
        <v>0.38271946216459068</v>
      </c>
      <c r="L9" s="12">
        <v>0.8191173894643804</v>
      </c>
      <c r="M9" s="12">
        <v>0.46261196171879332</v>
      </c>
      <c r="N9" s="12">
        <v>0.10602635392241162</v>
      </c>
      <c r="O9" s="12">
        <v>6.3291863532706674E-2</v>
      </c>
      <c r="P9" s="12">
        <v>0.26130210267546028</v>
      </c>
    </row>
    <row r="10" spans="1:16">
      <c r="A10" s="3" t="s">
        <v>17</v>
      </c>
      <c r="B10" s="13">
        <v>-3.7527309500736965E-3</v>
      </c>
      <c r="C10" s="13">
        <v>-6.7732550206685638E-3</v>
      </c>
      <c r="D10" s="13">
        <v>0.52262521903495296</v>
      </c>
      <c r="E10" s="13">
        <v>0.6721570456787983</v>
      </c>
      <c r="F10" s="13">
        <v>0.62282769701782481</v>
      </c>
      <c r="G10" s="13">
        <v>0.58020468620449372</v>
      </c>
      <c r="H10" s="13">
        <v>0.74351962676598971</v>
      </c>
      <c r="I10" s="13">
        <v>0.76850997839942436</v>
      </c>
      <c r="J10" s="13">
        <v>0.99999999999999989</v>
      </c>
      <c r="K10" s="12">
        <v>0.34555192573204779</v>
      </c>
      <c r="L10" s="12">
        <v>0.70484279458903154</v>
      </c>
      <c r="M10" s="12">
        <v>0.37657291195050324</v>
      </c>
      <c r="N10" s="12">
        <v>4.8477717164684166E-2</v>
      </c>
      <c r="O10" s="12">
        <v>0.1032272140084048</v>
      </c>
      <c r="P10" s="12">
        <v>0.1154404335678105</v>
      </c>
    </row>
    <row r="11" spans="1:16">
      <c r="A11" s="3" t="s">
        <v>18</v>
      </c>
      <c r="B11" s="13">
        <v>6.2493157155049432E-2</v>
      </c>
      <c r="C11" s="13">
        <v>-5.1706550350255898E-2</v>
      </c>
      <c r="D11" s="13">
        <v>0.28766472441860558</v>
      </c>
      <c r="E11" s="13">
        <v>0.34456279640166992</v>
      </c>
      <c r="F11" s="13">
        <v>0.35711596108272914</v>
      </c>
      <c r="G11" s="13">
        <v>0.39901689071109836</v>
      </c>
      <c r="H11" s="13">
        <v>0.35259234468444417</v>
      </c>
      <c r="I11" s="13">
        <v>0.38271946216459068</v>
      </c>
      <c r="J11" s="13">
        <v>0.34555192573204779</v>
      </c>
      <c r="K11" s="13">
        <v>0.99999999999999978</v>
      </c>
      <c r="L11" s="12">
        <v>0.56477313595200029</v>
      </c>
      <c r="M11" s="12">
        <v>0.18911248474270126</v>
      </c>
      <c r="N11" s="12">
        <v>0.19704689613275589</v>
      </c>
      <c r="O11" s="12">
        <v>3.7747874608360057E-2</v>
      </c>
      <c r="P11" s="12">
        <v>0.13511121914901059</v>
      </c>
    </row>
    <row r="12" spans="1:16">
      <c r="A12" s="3" t="s">
        <v>19</v>
      </c>
      <c r="B12" s="13">
        <v>2.5262055442733057E-2</v>
      </c>
      <c r="C12" s="13">
        <v>-4.9063338706909966E-2</v>
      </c>
      <c r="D12" s="13">
        <v>0.52719149362343742</v>
      </c>
      <c r="E12" s="13">
        <v>0.72128294507367552</v>
      </c>
      <c r="F12" s="13">
        <v>0.79896058956541471</v>
      </c>
      <c r="G12" s="13">
        <v>0.7009562474593849</v>
      </c>
      <c r="H12" s="13">
        <v>0.74262354085733751</v>
      </c>
      <c r="I12" s="13">
        <v>0.8191173894643804</v>
      </c>
      <c r="J12" s="13">
        <v>0.70484279458903154</v>
      </c>
      <c r="K12" s="13">
        <v>0.56477313595200029</v>
      </c>
      <c r="L12" s="13">
        <v>0.99999999999999989</v>
      </c>
      <c r="M12" s="12">
        <v>0.55862094691970865</v>
      </c>
      <c r="N12" s="12">
        <v>0.24511316390714413</v>
      </c>
      <c r="O12" s="12">
        <v>2.8228840359199751E-2</v>
      </c>
      <c r="P12" s="12">
        <v>0.1080323022337135</v>
      </c>
    </row>
    <row r="13" spans="1:16">
      <c r="A13" s="3" t="s">
        <v>3</v>
      </c>
      <c r="B13" s="13">
        <v>-2.8837435446479934E-2</v>
      </c>
      <c r="C13" s="13">
        <v>-0.17023383181184706</v>
      </c>
      <c r="D13" s="13">
        <v>0.18966889049402685</v>
      </c>
      <c r="E13" s="13">
        <v>0.44071179813641975</v>
      </c>
      <c r="F13" s="13">
        <v>0.44820956579685478</v>
      </c>
      <c r="G13" s="13">
        <v>0.34094260645621505</v>
      </c>
      <c r="H13" s="13">
        <v>0.43615308468066782</v>
      </c>
      <c r="I13" s="13">
        <v>0.46261196171879332</v>
      </c>
      <c r="J13" s="13">
        <v>0.37657291195050324</v>
      </c>
      <c r="K13" s="13">
        <v>0.18911248474270126</v>
      </c>
      <c r="L13" s="13">
        <v>0.55862094691970865</v>
      </c>
      <c r="M13" s="13">
        <v>1</v>
      </c>
      <c r="N13" s="12">
        <v>0.35330859753724486</v>
      </c>
      <c r="O13" s="12">
        <v>4.1898373306083057E-2</v>
      </c>
      <c r="P13" s="12">
        <v>0.17983956791709549</v>
      </c>
    </row>
    <row r="14" spans="1:16">
      <c r="A14" s="3" t="s">
        <v>21</v>
      </c>
      <c r="B14" s="13">
        <v>0.10176785061936527</v>
      </c>
      <c r="C14" s="13">
        <v>0.35554365694823126</v>
      </c>
      <c r="D14" s="13">
        <v>0.36480036112360509</v>
      </c>
      <c r="E14" s="13">
        <v>0.13483021422504474</v>
      </c>
      <c r="F14" s="13">
        <v>0.38813792440929851</v>
      </c>
      <c r="G14" s="13">
        <v>0.31308220851562846</v>
      </c>
      <c r="H14" s="13">
        <v>3.7008566279138608E-2</v>
      </c>
      <c r="I14" s="13">
        <v>0.10602635392241162</v>
      </c>
      <c r="J14" s="13">
        <v>4.8477717164684166E-2</v>
      </c>
      <c r="K14" s="13">
        <v>0.19704689613275589</v>
      </c>
      <c r="L14" s="13">
        <v>0.24511316390714413</v>
      </c>
      <c r="M14" s="13">
        <v>0.35330859753724486</v>
      </c>
      <c r="N14" s="13">
        <v>0.99999999999999989</v>
      </c>
      <c r="O14" s="12">
        <v>3.7677408181888708E-2</v>
      </c>
      <c r="P14" s="12">
        <v>0.12697261972137441</v>
      </c>
    </row>
    <row r="15" spans="1:16">
      <c r="A15" s="3" t="s">
        <v>22</v>
      </c>
      <c r="B15" s="13">
        <v>5.6303884133766932E-3</v>
      </c>
      <c r="C15" s="13">
        <v>1.5500758076833741E-2</v>
      </c>
      <c r="D15" s="13">
        <v>4.4450346694076347E-2</v>
      </c>
      <c r="E15" s="13">
        <v>8.5216331716323535E-2</v>
      </c>
      <c r="F15" s="13">
        <v>3.6507528512002951E-2</v>
      </c>
      <c r="G15" s="13">
        <v>7.7501408066640284E-2</v>
      </c>
      <c r="H15" s="13">
        <v>0.1036370416564054</v>
      </c>
      <c r="I15" s="13">
        <v>6.3291863532706674E-2</v>
      </c>
      <c r="J15" s="13">
        <v>0.1032272140084048</v>
      </c>
      <c r="K15" s="13">
        <v>3.7747874608360057E-2</v>
      </c>
      <c r="L15" s="13">
        <v>2.8228840359199751E-2</v>
      </c>
      <c r="M15" s="13">
        <v>4.1898373306083057E-2</v>
      </c>
      <c r="N15" s="13">
        <v>3.7677408181888708E-2</v>
      </c>
      <c r="O15" s="13">
        <v>1</v>
      </c>
      <c r="P15" s="12">
        <v>5.8342689071272193E-2</v>
      </c>
    </row>
    <row r="16" spans="1:16">
      <c r="A16" s="3" t="s">
        <v>4</v>
      </c>
      <c r="B16" s="14">
        <v>5.1792605131888124E-3</v>
      </c>
      <c r="C16" s="14">
        <v>-1.046696836132968E-2</v>
      </c>
      <c r="D16" s="14">
        <v>9.8732005910581372E-2</v>
      </c>
      <c r="E16" s="14">
        <v>0.209631433580836</v>
      </c>
      <c r="F16" s="14">
        <v>0.12921461831826669</v>
      </c>
      <c r="G16" s="14">
        <v>0.14500273996496391</v>
      </c>
      <c r="H16" s="14">
        <v>0.37921265774502261</v>
      </c>
      <c r="I16" s="14">
        <v>0.26130210267546028</v>
      </c>
      <c r="J16" s="14">
        <v>0.1154404335678105</v>
      </c>
      <c r="K16" s="14">
        <v>0.13511121914901059</v>
      </c>
      <c r="L16" s="14">
        <v>0.1080323022337135</v>
      </c>
      <c r="M16" s="14">
        <v>0.17983956791709549</v>
      </c>
      <c r="N16" s="14">
        <v>0.12697261972137441</v>
      </c>
      <c r="O16" s="14">
        <v>5.8342689071272193E-2</v>
      </c>
      <c r="P16" s="13">
        <v>1</v>
      </c>
    </row>
    <row r="22" spans="2:16" ht="16" customHeight="1">
      <c r="B22" s="10"/>
      <c r="C22" s="10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</row>
    <row r="23" spans="2:16">
      <c r="B23" s="11"/>
      <c r="C23" s="11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</row>
    <row r="24" spans="2:16">
      <c r="B24" s="11"/>
      <c r="C24" s="11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</row>
    <row r="25" spans="2:16">
      <c r="B25" s="11"/>
      <c r="C25" s="11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</row>
  </sheetData>
  <conditionalFormatting sqref="B5:E5 B6:F6 B8:H8 B9:I15 J11:K11 J12:L12 J13:M13 J14:N14 J15:O15 B4:D4 B7:G7">
    <cfRule type="cellIs" dxfId="3" priority="8" operator="equal">
      <formula>1</formula>
    </cfRule>
  </conditionalFormatting>
  <conditionalFormatting sqref="B2:C3 D2:P2 D3 E3:E4 F3:F5 G3:G6 H3:H7 I3:I8 J3:J9 K3:K10 L3:L11 M3:M12 N3:N13 O3:O14 P3:P15">
    <cfRule type="cellIs" dxfId="2" priority="7" operator="equal">
      <formula>1</formula>
    </cfRule>
  </conditionalFormatting>
  <conditionalFormatting sqref="J10">
    <cfRule type="cellIs" dxfId="1" priority="6" operator="equal">
      <formula>1</formula>
    </cfRule>
  </conditionalFormatting>
  <conditionalFormatting sqref="P16">
    <cfRule type="cellIs" dxfId="0" priority="5" operator="equal">
      <formula>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Asset Cluster Mapping</vt:lpstr>
      <vt:lpstr>Market Weight</vt:lpstr>
      <vt:lpstr>Eq Volatility</vt:lpstr>
      <vt:lpstr>Eq Corr Matrix</vt:lpstr>
      <vt:lpstr>Naive Benchmark</vt:lpstr>
      <vt:lpstr>Expected R&amp;R</vt:lpstr>
      <vt:lpstr>Expected Corr Matrix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Anonymous</cp:lastModifiedBy>
  <dcterms:created xsi:type="dcterms:W3CDTF">2025-02-12T11:42:56Z</dcterms:created>
  <dcterms:modified xsi:type="dcterms:W3CDTF">2026-01-31T05:15:39Z</dcterms:modified>
</cp:coreProperties>
</file>